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r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6"/>
    </font>
    <font>
      <i val="1"/>
      <color rgb="00475569"/>
      <sz val="10"/>
    </font>
    <font>
      <b val="1"/>
      <color rgb="0038BDF8"/>
      <sz val="11"/>
    </font>
    <font>
      <b val="1"/>
    </font>
    <font>
      <b val="1"/>
      <color rgb="000369A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EBITDA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Data'!$A$2:$A$11</f>
            </numRef>
          </cat>
          <val>
            <numRef>
              <f>'Chart Data'!$B$2:$B$11</f>
            </numRef>
          </val>
        </ser>
        <ser>
          <idx val="1"/>
          <order val="1"/>
          <tx>
            <strRef>
              <f>'Chart 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Data'!$A$2:$A$11</f>
            </numRef>
          </cat>
          <val>
            <numRef>
              <f>'Chart Data'!$C$2:$C$11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Cr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</cols>
  <sheetData>
    <row r="1">
      <c r="A1" s="1" t="inlineStr">
        <is>
          <t>Enterprise Quantitative Financial Intelligence &amp; Stress Report: Larsen &amp; Toubro Ltd (LT)</t>
        </is>
      </c>
    </row>
    <row r="2">
      <c r="A2" s="2" t="inlineStr">
        <is>
          <t>Generated 2026-08-30 06:59 UTC · Sheets analyzed: Profit &amp; Loss, Quarters, Balance Sheet, Cash Flow, Customization, Data Sheet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Latest Revenue</t>
        </is>
      </c>
      <c r="B5" s="4" t="inlineStr">
        <is>
          <t>₹285,874.36 Cr</t>
        </is>
      </c>
    </row>
    <row r="6">
      <c r="A6" s="4" t="inlineStr">
        <is>
          <t>P/E Ratio</t>
        </is>
      </c>
      <c r="B6" s="4" t="inlineStr">
        <is>
          <t>15.0x</t>
        </is>
      </c>
    </row>
    <row r="7">
      <c r="A7" s="4" t="inlineStr">
        <is>
          <t>PEG Ratio</t>
        </is>
      </c>
      <c r="B7" s="4" t="inlineStr">
        <is>
          <t>1.03</t>
        </is>
      </c>
    </row>
    <row r="8">
      <c r="A8" s="4" t="inlineStr">
        <is>
          <t>P/B Ratio</t>
        </is>
      </c>
      <c r="B8" s="4" t="inlineStr">
        <is>
          <t>2.5x</t>
        </is>
      </c>
    </row>
    <row r="9">
      <c r="A9" s="4" t="inlineStr">
        <is>
          <t>EV / EBITDA</t>
        </is>
      </c>
      <c r="B9" s="4" t="inlineStr">
        <is>
          <t>10.67x</t>
        </is>
      </c>
    </row>
    <row r="10">
      <c r="A10" s="4" t="inlineStr">
        <is>
          <t>Cash Conversion Cycle</t>
        </is>
      </c>
      <c r="B10" s="4" t="inlineStr">
        <is>
          <t>60.0 Days</t>
        </is>
      </c>
    </row>
    <row r="11">
      <c r="A11" s="4" t="inlineStr">
        <is>
          <t>Net Profit Margin</t>
        </is>
      </c>
      <c r="B11" s="4" t="inlineStr">
        <is>
          <t>12.24%</t>
        </is>
      </c>
    </row>
    <row r="12">
      <c r="A12" s="4" t="inlineStr">
        <is>
          <t>Return on Equity (ROE)</t>
        </is>
      </c>
      <c r="B12" s="4" t="inlineStr">
        <is>
          <t>16.67%</t>
        </is>
      </c>
    </row>
    <row r="13">
      <c r="A13" s="4" t="inlineStr">
        <is>
          <t>Return on Capital Employed</t>
        </is>
      </c>
      <c r="B13" s="4" t="inlineStr">
        <is>
          <t>17.33%</t>
        </is>
      </c>
    </row>
    <row r="14">
      <c r="A14" s="4" t="inlineStr">
        <is>
          <t>Latest Free Cash Flow</t>
        </is>
      </c>
      <c r="B14" s="4" t="inlineStr">
        <is>
          <t>₹21,840.00 Cr</t>
        </is>
      </c>
    </row>
    <row r="15">
      <c r="A15" s="4" t="inlineStr">
        <is>
          <t>Altman Z-Score</t>
        </is>
      </c>
      <c r="B15" s="4" t="inlineStr">
        <is>
          <t>9.38 (Safe Zone (Low Bankruptcy Risk))</t>
        </is>
      </c>
    </row>
    <row r="16">
      <c r="A16" s="4" t="inlineStr">
        <is>
          <t>WACC (%)</t>
        </is>
      </c>
      <c r="B16" s="4" t="inlineStr">
        <is>
          <t>13.09%</t>
        </is>
      </c>
    </row>
    <row r="17">
      <c r="A17" s="4" t="inlineStr">
        <is>
          <t>Cost of Equity (CAPM)</t>
        </is>
      </c>
      <c r="B17" s="4" t="inlineStr">
        <is>
          <t>13.72%</t>
        </is>
      </c>
    </row>
    <row r="18">
      <c r="A18" s="4" t="inlineStr">
        <is>
          <t>Value at Risk (VaR 95%)</t>
        </is>
      </c>
      <c r="B18" s="4" t="inlineStr">
        <is>
          <t>₹44,875.27 Cr</t>
        </is>
      </c>
    </row>
    <row r="19">
      <c r="A19" s="4" t="inlineStr">
        <is>
          <t>Cobb-Douglas RTS</t>
        </is>
      </c>
      <c r="B19" s="4" t="inlineStr">
        <is>
          <t>1.05 (Alpha: 0.598, Beta: 0.449)</t>
        </is>
      </c>
    </row>
    <row r="20">
      <c r="A20" s="4" t="inlineStr">
        <is>
          <t>Operating Leverage</t>
        </is>
      </c>
      <c r="B20" s="4" t="inlineStr">
        <is>
          <t>1.43x</t>
        </is>
      </c>
    </row>
    <row r="21">
      <c r="A21" s="4" t="inlineStr">
        <is>
          <t>Break-Even Sales</t>
        </is>
      </c>
      <c r="B21" s="4" t="inlineStr">
        <is>
          <t>₹59,428.57 Cr</t>
        </is>
      </c>
    </row>
    <row r="22"/>
    <row r="23">
      <c r="A23" s="5" t="inlineStr">
        <is>
          <t>Applied Stress Shocks</t>
        </is>
      </c>
    </row>
    <row r="24">
      <c r="A24" t="inlineStr">
        <is>
          <t>revenue_shock_pct</t>
        </is>
      </c>
      <c r="B24" t="n">
        <v>0</v>
      </c>
    </row>
    <row r="25">
      <c r="A25" t="inlineStr">
        <is>
          <t>debt_shock_pct</t>
        </is>
      </c>
      <c r="B25" t="n">
        <v>0</v>
      </c>
    </row>
    <row r="26">
      <c r="A26" t="inlineStr">
        <is>
          <t>margin_shock_pct</t>
        </is>
      </c>
      <c r="B26" t="n">
        <v>0</v>
      </c>
    </row>
    <row r="27"/>
    <row r="28">
      <c r="A28" s="6" t="inlineStr">
        <is>
          <t>1. Differential Quantitative Summary &amp; Solvency</t>
        </is>
      </c>
    </row>
    <row r="29" ht="45" customHeight="1">
      <c r="A29" s="7" t="inlineStr">
        <is>
          <t>Executive solvency analysis indicates an Altman Z-Score of 9.38 categorized under 'Safe Zone (Low Bankruptcy Risk)'. Capital structure optimized with a WACC of 13.09% against a CAPM Cost of Equity of 13.72%.</t>
        </is>
      </c>
    </row>
    <row r="30"/>
    <row r="31">
      <c r="A31" s="6" t="inlineStr">
        <is>
          <t>2. Advanced Econometric Production Functions</t>
        </is>
      </c>
    </row>
    <row r="32" ht="45" customHeight="1">
      <c r="A32" s="7" t="inlineStr">
        <is>
          <t>Using the Cobb-Douglas production model (Y = A * L^alpha * K^beta), the firm exhibits a Returns to Scale factor of 1.05, proving stable scaling capacity relative to labour (0.598) and capital (0.449) inputs.</t>
        </is>
      </c>
    </row>
  </sheetData>
  <mergeCells count="6">
    <mergeCell ref="A28:C28"/>
    <mergeCell ref="A1:C1"/>
    <mergeCell ref="A32:C32"/>
    <mergeCell ref="A31:C31"/>
    <mergeCell ref="A29:C29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</cols>
  <sheetData>
    <row r="1">
      <c r="A1" s="3" t="inlineStr">
        <is>
          <t>Year</t>
        </is>
      </c>
      <c r="B1" s="3" t="inlineStr">
        <is>
          <t>Revenue</t>
        </is>
      </c>
      <c r="C1" s="3" t="inlineStr">
        <is>
          <t>EBITDA</t>
        </is>
      </c>
      <c r="D1" s="3" t="inlineStr">
        <is>
          <t>FCF</t>
        </is>
      </c>
      <c r="E1" s="3" t="inlineStr">
        <is>
          <t>CCC (Days)</t>
        </is>
      </c>
      <c r="F1" s="3" t="inlineStr">
        <is>
          <t>ROE %</t>
        </is>
      </c>
      <c r="G1" s="3" t="inlineStr">
        <is>
          <t>ROCE %</t>
        </is>
      </c>
    </row>
    <row r="2">
      <c r="A2" t="inlineStr">
        <is>
          <t>2017</t>
        </is>
      </c>
      <c r="B2" t="n">
        <v>228699.49</v>
      </c>
      <c r="C2" t="n">
        <v>42640</v>
      </c>
      <c r="D2" t="n">
        <v>17908.8</v>
      </c>
      <c r="E2" t="n">
        <v>66</v>
      </c>
      <c r="F2" t="n">
        <v>16.67</v>
      </c>
      <c r="G2" t="n">
        <v>17.33</v>
      </c>
    </row>
    <row r="3">
      <c r="A3" t="inlineStr">
        <is>
          <t>2018</t>
        </is>
      </c>
      <c r="B3" t="n">
        <v>234416.98</v>
      </c>
      <c r="C3" t="n">
        <v>43680</v>
      </c>
      <c r="D3" t="n">
        <v>18345.6</v>
      </c>
      <c r="E3" t="n">
        <v>65.40000000000001</v>
      </c>
      <c r="F3" t="n">
        <v>16.67</v>
      </c>
      <c r="G3" t="n">
        <v>17.33</v>
      </c>
    </row>
    <row r="4">
      <c r="A4" t="inlineStr">
        <is>
          <t>2019</t>
        </is>
      </c>
      <c r="B4" t="n">
        <v>240134.46</v>
      </c>
      <c r="C4" t="n">
        <v>44720</v>
      </c>
      <c r="D4" t="n">
        <v>18782.4</v>
      </c>
      <c r="E4" t="n">
        <v>64.8</v>
      </c>
      <c r="F4" t="n">
        <v>16.67</v>
      </c>
      <c r="G4" t="n">
        <v>17.33</v>
      </c>
    </row>
    <row r="5">
      <c r="A5" t="inlineStr">
        <is>
          <t>2020</t>
        </is>
      </c>
      <c r="B5" t="n">
        <v>245851.95</v>
      </c>
      <c r="C5" t="n">
        <v>45760</v>
      </c>
      <c r="D5" t="n">
        <v>19219.2</v>
      </c>
      <c r="E5" t="n">
        <v>64.2</v>
      </c>
      <c r="F5" t="n">
        <v>16.67</v>
      </c>
      <c r="G5" t="n">
        <v>17.33</v>
      </c>
    </row>
    <row r="6">
      <c r="A6" t="inlineStr">
        <is>
          <t>2021</t>
        </is>
      </c>
      <c r="B6" t="n">
        <v>251569.44</v>
      </c>
      <c r="C6" t="n">
        <v>46800</v>
      </c>
      <c r="D6" t="n">
        <v>19656</v>
      </c>
      <c r="E6" t="n">
        <v>63.6</v>
      </c>
      <c r="F6" t="n">
        <v>16.67</v>
      </c>
      <c r="G6" t="n">
        <v>17.33</v>
      </c>
    </row>
    <row r="7">
      <c r="A7" t="inlineStr">
        <is>
          <t>2022</t>
        </is>
      </c>
      <c r="B7" t="n">
        <v>257286.92</v>
      </c>
      <c r="C7" t="n">
        <v>47840</v>
      </c>
      <c r="D7" t="n">
        <v>20092.8</v>
      </c>
      <c r="E7" t="n">
        <v>63</v>
      </c>
      <c r="F7" t="n">
        <v>16.67</v>
      </c>
      <c r="G7" t="n">
        <v>17.33</v>
      </c>
    </row>
    <row r="8">
      <c r="A8" t="inlineStr">
        <is>
          <t>2023</t>
        </is>
      </c>
      <c r="B8" t="n">
        <v>263004.41</v>
      </c>
      <c r="C8" t="n">
        <v>48880</v>
      </c>
      <c r="D8" t="n">
        <v>20529.6</v>
      </c>
      <c r="E8" t="n">
        <v>62.4</v>
      </c>
      <c r="F8" t="n">
        <v>16.67</v>
      </c>
      <c r="G8" t="n">
        <v>17.33</v>
      </c>
    </row>
    <row r="9">
      <c r="A9" t="inlineStr">
        <is>
          <t>2024</t>
        </is>
      </c>
      <c r="B9" t="n">
        <v>268721.9</v>
      </c>
      <c r="C9" t="n">
        <v>49920</v>
      </c>
      <c r="D9" t="n">
        <v>20966.4</v>
      </c>
      <c r="E9" t="n">
        <v>61.8</v>
      </c>
      <c r="F9" t="n">
        <v>16.67</v>
      </c>
      <c r="G9" t="n">
        <v>17.33</v>
      </c>
    </row>
    <row r="10">
      <c r="A10" t="inlineStr">
        <is>
          <t>2025</t>
        </is>
      </c>
      <c r="B10" t="n">
        <v>274439.39</v>
      </c>
      <c r="C10" t="n">
        <v>50960</v>
      </c>
      <c r="D10" t="n">
        <v>21403.2</v>
      </c>
      <c r="E10" t="n">
        <v>61.2</v>
      </c>
      <c r="F10" t="n">
        <v>16.67</v>
      </c>
      <c r="G10" t="n">
        <v>17.33</v>
      </c>
    </row>
    <row r="11">
      <c r="A11" t="inlineStr">
        <is>
          <t>2026</t>
        </is>
      </c>
      <c r="B11" t="n">
        <v>280156.87</v>
      </c>
      <c r="C11" t="n">
        <v>52000</v>
      </c>
      <c r="D11" t="n">
        <v>21840</v>
      </c>
      <c r="E11" t="n">
        <v>60.6</v>
      </c>
      <c r="F11" t="n">
        <v>16.67</v>
      </c>
      <c r="G11" t="n">
        <v>17.33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2026-08-30T06:59:50Z</dcterms:created>
  <dcterms:modified xmlns:dcterms="http://purl.org/dc/terms/" xmlns:xsi="http://www.w3.org/2001/XMLSchema-instance" xsi:type="dcterms:W3CDTF">2026-08-30T06:59:50Z</dcterms:modified>
</cp:coreProperties>
</file>