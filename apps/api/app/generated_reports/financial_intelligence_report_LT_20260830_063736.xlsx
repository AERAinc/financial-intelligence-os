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rt Data" sheetId="2" state="visible" r:id="rId2"/>
    <sheet xmlns:r="http://schemas.openxmlformats.org/officeDocument/2006/relationships" name="DCF Valuation" sheetId="3" state="visible" r:id="rId3"/>
    <sheet xmlns:r="http://schemas.openxmlformats.org/officeDocument/2006/relationships" name="LBO 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6"/>
    </font>
    <font>
      <i val="1"/>
      <color rgb="00475569"/>
      <sz val="10"/>
    </font>
    <font>
      <b val="1"/>
      <color rgb="0038BDF8"/>
      <sz val="11"/>
    </font>
    <font>
      <b val="1"/>
    </font>
    <font>
      <b val="1"/>
      <color rgb="000369A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EBITDA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Data'!$A$2:$A$11</f>
            </numRef>
          </cat>
          <val>
            <numRef>
              <f>'Chart Data'!$B$2:$B$11</f>
            </numRef>
          </val>
        </ser>
        <ser>
          <idx val="1"/>
          <order val="1"/>
          <tx>
            <strRef>
              <f>'Chart 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Data'!$A$2:$A$11</f>
            </numRef>
          </cat>
          <val>
            <numRef>
              <f>'Chart Data'!$C$2:$C$11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</cols>
  <sheetData>
    <row r="1">
      <c r="A1" s="1" t="inlineStr">
        <is>
          <t>Enterprise Quantitative Financial Intelligence &amp; Stress Report: Larsen &amp; Toubro Ltd (LT)</t>
        </is>
      </c>
    </row>
    <row r="2">
      <c r="A2" s="2" t="inlineStr">
        <is>
          <t>Generated 2026-08-30 06:37 UTC · Sheets analyzed: Profit &amp; Loss, Quarters, Balance Sheet, Cash Flow, Customization, Data Sheet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Latest Revenue</t>
        </is>
      </c>
      <c r="B5" s="4" t="inlineStr">
        <is>
          <t>₹285,874.36 Cr</t>
        </is>
      </c>
    </row>
    <row r="6">
      <c r="A6" s="4" t="inlineStr">
        <is>
          <t>P/E Ratio</t>
        </is>
      </c>
      <c r="B6" s="4" t="inlineStr">
        <is>
          <t>15.0x</t>
        </is>
      </c>
    </row>
    <row r="7">
      <c r="A7" s="4" t="inlineStr">
        <is>
          <t>PEG Ratio</t>
        </is>
      </c>
      <c r="B7" s="4" t="inlineStr">
        <is>
          <t>1.03</t>
        </is>
      </c>
    </row>
    <row r="8">
      <c r="A8" s="4" t="inlineStr">
        <is>
          <t>P/B Ratio</t>
        </is>
      </c>
      <c r="B8" s="4" t="inlineStr">
        <is>
          <t>2.5x</t>
        </is>
      </c>
    </row>
    <row r="9">
      <c r="A9" s="4" t="inlineStr">
        <is>
          <t>EV / EBITDA</t>
        </is>
      </c>
      <c r="B9" s="4" t="inlineStr">
        <is>
          <t>10.67x</t>
        </is>
      </c>
    </row>
    <row r="10">
      <c r="A10" s="4" t="inlineStr">
        <is>
          <t>Cash Conversion Cycle</t>
        </is>
      </c>
      <c r="B10" s="4" t="inlineStr">
        <is>
          <t>60.0 Days</t>
        </is>
      </c>
    </row>
    <row r="11">
      <c r="A11" s="4" t="inlineStr">
        <is>
          <t>Net Profit Margin</t>
        </is>
      </c>
      <c r="B11" s="4" t="inlineStr">
        <is>
          <t>12.24%</t>
        </is>
      </c>
    </row>
    <row r="12">
      <c r="A12" s="4" t="inlineStr">
        <is>
          <t>Return on Equity (ROE)</t>
        </is>
      </c>
      <c r="B12" s="4" t="inlineStr">
        <is>
          <t>16.67%</t>
        </is>
      </c>
    </row>
    <row r="13">
      <c r="A13" s="4" t="inlineStr">
        <is>
          <t>Return on Capital Employed</t>
        </is>
      </c>
      <c r="B13" s="4" t="inlineStr">
        <is>
          <t>17.33%</t>
        </is>
      </c>
    </row>
    <row r="14">
      <c r="A14" s="4" t="inlineStr">
        <is>
          <t>Latest Free Cash Flow</t>
        </is>
      </c>
      <c r="B14" s="4" t="inlineStr">
        <is>
          <t>₹21,840.00 Cr</t>
        </is>
      </c>
    </row>
    <row r="15">
      <c r="A15" s="4" t="inlineStr">
        <is>
          <t>Altman Z-Score</t>
        </is>
      </c>
      <c r="B15" s="4" t="inlineStr">
        <is>
          <t>9.38 (Safe Zone (Low Bankruptcy Risk))</t>
        </is>
      </c>
    </row>
    <row r="16">
      <c r="A16" s="4" t="inlineStr">
        <is>
          <t>WACC (%)</t>
        </is>
      </c>
      <c r="B16" s="4" t="inlineStr">
        <is>
          <t>13.09%</t>
        </is>
      </c>
    </row>
    <row r="17">
      <c r="A17" s="4" t="inlineStr">
        <is>
          <t>Cost of Equity (CAPM)</t>
        </is>
      </c>
      <c r="B17" s="4" t="inlineStr">
        <is>
          <t>13.72%</t>
        </is>
      </c>
    </row>
    <row r="18">
      <c r="A18" s="4" t="inlineStr">
        <is>
          <t>Value at Risk (VaR 95%)</t>
        </is>
      </c>
      <c r="B18" s="4" t="inlineStr">
        <is>
          <t>₹44,875.27 Cr</t>
        </is>
      </c>
    </row>
    <row r="19">
      <c r="A19" s="4" t="inlineStr">
        <is>
          <t>Cobb-Douglas RTS</t>
        </is>
      </c>
      <c r="B19" s="4" t="inlineStr">
        <is>
          <t>1.05 (Alpha: 0.598, Beta: 0.449)</t>
        </is>
      </c>
    </row>
    <row r="20">
      <c r="A20" s="4" t="inlineStr">
        <is>
          <t>Operating Leverage</t>
        </is>
      </c>
      <c r="B20" s="4" t="inlineStr">
        <is>
          <t>1.43x</t>
        </is>
      </c>
    </row>
    <row r="21">
      <c r="A21" s="4" t="inlineStr">
        <is>
          <t>Break-Even Sales</t>
        </is>
      </c>
      <c r="B21" s="4" t="inlineStr">
        <is>
          <t>₹59,428.57 Cr</t>
        </is>
      </c>
    </row>
    <row r="22"/>
    <row r="23">
      <c r="A23" s="5" t="inlineStr">
        <is>
          <t>Applied Stress Shocks</t>
        </is>
      </c>
    </row>
    <row r="24">
      <c r="A24" t="inlineStr">
        <is>
          <t>revenue_shock_pct</t>
        </is>
      </c>
      <c r="B24" t="n">
        <v>0</v>
      </c>
    </row>
    <row r="25">
      <c r="A25" t="inlineStr">
        <is>
          <t>debt_shock_pct</t>
        </is>
      </c>
      <c r="B25" t="n">
        <v>0</v>
      </c>
    </row>
    <row r="26">
      <c r="A26" t="inlineStr">
        <is>
          <t>margin_shock_pct</t>
        </is>
      </c>
      <c r="B26" t="n">
        <v>0</v>
      </c>
    </row>
    <row r="27"/>
    <row r="28">
      <c r="A28" s="6" t="inlineStr">
        <is>
          <t>1. Differential Quantitative Summary &amp; Solvency</t>
        </is>
      </c>
    </row>
    <row r="29" ht="45" customHeight="1">
      <c r="A29" s="7" t="inlineStr">
        <is>
          <t>Executive solvency analysis indicates an Altman Z-Score of 9.38 categorized under 'Safe Zone (Low Bankruptcy Risk)'. Capital structure optimized with a WACC of 13.09% against a CAPM Cost of Equity of 13.72%.</t>
        </is>
      </c>
    </row>
    <row r="30"/>
    <row r="31">
      <c r="A31" s="6" t="inlineStr">
        <is>
          <t>2. Advanced Econometric Production Functions</t>
        </is>
      </c>
    </row>
    <row r="32" ht="45" customHeight="1">
      <c r="A32" s="7" t="inlineStr">
        <is>
          <t>Using the Cobb-Douglas production model (Y = A * L^alpha * K^beta), the firm exhibits a Returns to Scale factor of 1.05, proving stable scaling capacity relative to labour (0.598) and capital (0.449) inputs.</t>
        </is>
      </c>
    </row>
  </sheetData>
  <mergeCells count="6">
    <mergeCell ref="A28:C28"/>
    <mergeCell ref="A1:C1"/>
    <mergeCell ref="A32:C32"/>
    <mergeCell ref="A31:C31"/>
    <mergeCell ref="A29:C29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</cols>
  <sheetData>
    <row r="1">
      <c r="A1" s="3" t="inlineStr">
        <is>
          <t>Year</t>
        </is>
      </c>
      <c r="B1" s="3" t="inlineStr">
        <is>
          <t>Revenue</t>
        </is>
      </c>
      <c r="C1" s="3" t="inlineStr">
        <is>
          <t>EBITDA</t>
        </is>
      </c>
      <c r="D1" s="3" t="inlineStr">
        <is>
          <t>FCF</t>
        </is>
      </c>
      <c r="E1" s="3" t="inlineStr">
        <is>
          <t>CCC (Days)</t>
        </is>
      </c>
      <c r="F1" s="3" t="inlineStr">
        <is>
          <t>ROE %</t>
        </is>
      </c>
      <c r="G1" s="3" t="inlineStr">
        <is>
          <t>ROCE %</t>
        </is>
      </c>
    </row>
    <row r="2">
      <c r="A2" t="inlineStr">
        <is>
          <t>2017</t>
        </is>
      </c>
      <c r="B2" t="n">
        <v>228699.49</v>
      </c>
      <c r="C2" t="n">
        <v>42640</v>
      </c>
      <c r="D2" t="n">
        <v>17908.8</v>
      </c>
      <c r="E2" t="n">
        <v>66</v>
      </c>
      <c r="F2" t="n">
        <v>16.67</v>
      </c>
      <c r="G2" t="n">
        <v>17.33</v>
      </c>
    </row>
    <row r="3">
      <c r="A3" t="inlineStr">
        <is>
          <t>2018</t>
        </is>
      </c>
      <c r="B3" t="n">
        <v>234416.98</v>
      </c>
      <c r="C3" t="n">
        <v>43680</v>
      </c>
      <c r="D3" t="n">
        <v>18345.6</v>
      </c>
      <c r="E3" t="n">
        <v>65.40000000000001</v>
      </c>
      <c r="F3" t="n">
        <v>16.67</v>
      </c>
      <c r="G3" t="n">
        <v>17.33</v>
      </c>
    </row>
    <row r="4">
      <c r="A4" t="inlineStr">
        <is>
          <t>2019</t>
        </is>
      </c>
      <c r="B4" t="n">
        <v>240134.46</v>
      </c>
      <c r="C4" t="n">
        <v>44720</v>
      </c>
      <c r="D4" t="n">
        <v>18782.4</v>
      </c>
      <c r="E4" t="n">
        <v>64.8</v>
      </c>
      <c r="F4" t="n">
        <v>16.67</v>
      </c>
      <c r="G4" t="n">
        <v>17.33</v>
      </c>
    </row>
    <row r="5">
      <c r="A5" t="inlineStr">
        <is>
          <t>2020</t>
        </is>
      </c>
      <c r="B5" t="n">
        <v>245851.95</v>
      </c>
      <c r="C5" t="n">
        <v>45760</v>
      </c>
      <c r="D5" t="n">
        <v>19219.2</v>
      </c>
      <c r="E5" t="n">
        <v>64.2</v>
      </c>
      <c r="F5" t="n">
        <v>16.67</v>
      </c>
      <c r="G5" t="n">
        <v>17.33</v>
      </c>
    </row>
    <row r="6">
      <c r="A6" t="inlineStr">
        <is>
          <t>2021</t>
        </is>
      </c>
      <c r="B6" t="n">
        <v>251569.44</v>
      </c>
      <c r="C6" t="n">
        <v>46800</v>
      </c>
      <c r="D6" t="n">
        <v>19656</v>
      </c>
      <c r="E6" t="n">
        <v>63.6</v>
      </c>
      <c r="F6" t="n">
        <v>16.67</v>
      </c>
      <c r="G6" t="n">
        <v>17.33</v>
      </c>
    </row>
    <row r="7">
      <c r="A7" t="inlineStr">
        <is>
          <t>2022</t>
        </is>
      </c>
      <c r="B7" t="n">
        <v>257286.92</v>
      </c>
      <c r="C7" t="n">
        <v>47840</v>
      </c>
      <c r="D7" t="n">
        <v>20092.8</v>
      </c>
      <c r="E7" t="n">
        <v>63</v>
      </c>
      <c r="F7" t="n">
        <v>16.67</v>
      </c>
      <c r="G7" t="n">
        <v>17.33</v>
      </c>
    </row>
    <row r="8">
      <c r="A8" t="inlineStr">
        <is>
          <t>2023</t>
        </is>
      </c>
      <c r="B8" t="n">
        <v>263004.41</v>
      </c>
      <c r="C8" t="n">
        <v>48880</v>
      </c>
      <c r="D8" t="n">
        <v>20529.6</v>
      </c>
      <c r="E8" t="n">
        <v>62.4</v>
      </c>
      <c r="F8" t="n">
        <v>16.67</v>
      </c>
      <c r="G8" t="n">
        <v>17.33</v>
      </c>
    </row>
    <row r="9">
      <c r="A9" t="inlineStr">
        <is>
          <t>2024</t>
        </is>
      </c>
      <c r="B9" t="n">
        <v>268721.9</v>
      </c>
      <c r="C9" t="n">
        <v>49920</v>
      </c>
      <c r="D9" t="n">
        <v>20966.4</v>
      </c>
      <c r="E9" t="n">
        <v>61.8</v>
      </c>
      <c r="F9" t="n">
        <v>16.67</v>
      </c>
      <c r="G9" t="n">
        <v>17.33</v>
      </c>
    </row>
    <row r="10">
      <c r="A10" t="inlineStr">
        <is>
          <t>2025</t>
        </is>
      </c>
      <c r="B10" t="n">
        <v>274439.39</v>
      </c>
      <c r="C10" t="n">
        <v>50960</v>
      </c>
      <c r="D10" t="n">
        <v>21403.2</v>
      </c>
      <c r="E10" t="n">
        <v>61.2</v>
      </c>
      <c r="F10" t="n">
        <v>16.67</v>
      </c>
      <c r="G10" t="n">
        <v>17.33</v>
      </c>
    </row>
    <row r="11">
      <c r="A11" t="inlineStr">
        <is>
          <t>2026</t>
        </is>
      </c>
      <c r="B11" t="n">
        <v>280156.87</v>
      </c>
      <c r="C11" t="n">
        <v>52000</v>
      </c>
      <c r="D11" t="n">
        <v>21840</v>
      </c>
      <c r="E11" t="n">
        <v>60.6</v>
      </c>
      <c r="F11" t="n">
        <v>16.67</v>
      </c>
      <c r="G11" t="n">
        <v>17.33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Discounted Cash Flow (FCFF) Valuation</t>
        </is>
      </c>
    </row>
    <row r="2" ht="45" customHeight="1">
      <c r="A2" s="8" t="inlineStr">
        <is>
          <t>At a WACC of 13.09% and terminal growth of 4.0%, the 5-year FCFF DCF implies an Enterprise Value of ₹312,303.07 Cr, of which 68.4% is attributable to the terminal value — a useful check on how much of the valuation rests on assumptions beyond the explicit forecast window.</t>
        </is>
      </c>
    </row>
    <row r="3"/>
    <row r="4">
      <c r="A4" s="3" t="inlineStr">
        <is>
          <t>Year</t>
        </is>
      </c>
      <c r="B4" s="3" t="inlineStr">
        <is>
          <t>Revenue</t>
        </is>
      </c>
      <c r="C4" s="3" t="inlineStr">
        <is>
          <t>EBITDA</t>
        </is>
      </c>
      <c r="D4" s="3" t="inlineStr">
        <is>
          <t>EBIT</t>
        </is>
      </c>
      <c r="E4" s="3" t="inlineStr">
        <is>
          <t>NOPAT</t>
        </is>
      </c>
      <c r="F4" s="3" t="inlineStr">
        <is>
          <t>D&amp;A</t>
        </is>
      </c>
      <c r="G4" s="3" t="inlineStr">
        <is>
          <t>Capex</t>
        </is>
      </c>
      <c r="H4" s="3" t="inlineStr">
        <is>
          <t>ΔNWC</t>
        </is>
      </c>
      <c r="I4" s="3" t="inlineStr">
        <is>
          <t>FCFF</t>
        </is>
      </c>
      <c r="J4" s="3" t="inlineStr">
        <is>
          <t>PV(FCFF)</t>
        </is>
      </c>
    </row>
    <row r="5">
      <c r="A5" t="n">
        <v>1</v>
      </c>
      <c r="B5" t="n">
        <v>314461.8</v>
      </c>
      <c r="C5" t="n">
        <v>56603.12</v>
      </c>
      <c r="D5" t="n">
        <v>44024.65</v>
      </c>
      <c r="E5" t="n">
        <v>33018.49</v>
      </c>
      <c r="F5" t="n">
        <v>12578.47</v>
      </c>
      <c r="G5" t="n">
        <v>15723.09</v>
      </c>
      <c r="H5" t="n">
        <v>6289.24</v>
      </c>
      <c r="I5" t="n">
        <v>23584.63</v>
      </c>
      <c r="J5" t="n">
        <v>20854.75</v>
      </c>
    </row>
    <row r="6">
      <c r="A6" t="n">
        <v>2</v>
      </c>
      <c r="B6" t="n">
        <v>345907.98</v>
      </c>
      <c r="C6" t="n">
        <v>62263.44</v>
      </c>
      <c r="D6" t="n">
        <v>48427.12</v>
      </c>
      <c r="E6" t="n">
        <v>36320.34</v>
      </c>
      <c r="F6" t="n">
        <v>13836.32</v>
      </c>
      <c r="G6" t="n">
        <v>17295.4</v>
      </c>
      <c r="H6" t="n">
        <v>6918.16</v>
      </c>
      <c r="I6" t="n">
        <v>25943.1</v>
      </c>
      <c r="J6" t="n">
        <v>20284.93</v>
      </c>
    </row>
    <row r="7">
      <c r="A7" t="n">
        <v>3</v>
      </c>
      <c r="B7" t="n">
        <v>380498.77</v>
      </c>
      <c r="C7" t="n">
        <v>68489.78</v>
      </c>
      <c r="D7" t="n">
        <v>53269.83</v>
      </c>
      <c r="E7" t="n">
        <v>39952.37</v>
      </c>
      <c r="F7" t="n">
        <v>15219.95</v>
      </c>
      <c r="G7" t="n">
        <v>19024.94</v>
      </c>
      <c r="H7" t="n">
        <v>7609.98</v>
      </c>
      <c r="I7" t="n">
        <v>28537.41</v>
      </c>
      <c r="J7" t="n">
        <v>19730.67</v>
      </c>
    </row>
    <row r="8">
      <c r="A8" t="n">
        <v>4</v>
      </c>
      <c r="B8" t="n">
        <v>418548.65</v>
      </c>
      <c r="C8" t="n">
        <v>75338.75999999999</v>
      </c>
      <c r="D8" t="n">
        <v>58596.81</v>
      </c>
      <c r="E8" t="n">
        <v>43947.61</v>
      </c>
      <c r="F8" t="n">
        <v>16741.95</v>
      </c>
      <c r="G8" t="n">
        <v>20927.43</v>
      </c>
      <c r="H8" t="n">
        <v>8370.969999999999</v>
      </c>
      <c r="I8" t="n">
        <v>31391.15</v>
      </c>
      <c r="J8" t="n">
        <v>19191.57</v>
      </c>
    </row>
    <row r="9">
      <c r="A9" t="n">
        <v>5</v>
      </c>
      <c r="B9" t="n">
        <v>460403.52</v>
      </c>
      <c r="C9" t="n">
        <v>82872.63</v>
      </c>
      <c r="D9" t="n">
        <v>64456.49</v>
      </c>
      <c r="E9" t="n">
        <v>48342.37</v>
      </c>
      <c r="F9" t="n">
        <v>18416.14</v>
      </c>
      <c r="G9" t="n">
        <v>23020.18</v>
      </c>
      <c r="H9" t="n">
        <v>9208.07</v>
      </c>
      <c r="I9" t="n">
        <v>34530.26</v>
      </c>
      <c r="J9" t="n">
        <v>18667.19</v>
      </c>
    </row>
    <row r="10"/>
    <row r="11">
      <c r="A11" s="5" t="inlineStr">
        <is>
          <t>WACC used (%)</t>
        </is>
      </c>
      <c r="B11" t="n">
        <v>13.09</v>
      </c>
    </row>
    <row r="12">
      <c r="A12" s="5" t="inlineStr">
        <is>
          <t>Terminal growth used (%)</t>
        </is>
      </c>
      <c r="B12" t="n">
        <v>4</v>
      </c>
    </row>
    <row r="13">
      <c r="A13" s="5" t="inlineStr">
        <is>
          <t>PV of explicit FCFF</t>
        </is>
      </c>
      <c r="B13" t="n">
        <v>98729.10000000001</v>
      </c>
    </row>
    <row r="14">
      <c r="A14" s="5" t="inlineStr">
        <is>
          <t>Terminal Value</t>
        </is>
      </c>
      <c r="B14" t="n">
        <v>395065.72</v>
      </c>
    </row>
    <row r="15">
      <c r="A15" s="5" t="inlineStr">
        <is>
          <t>PV of Terminal Value</t>
        </is>
      </c>
      <c r="B15" t="n">
        <v>213573.97</v>
      </c>
    </row>
    <row r="16">
      <c r="A16" s="5" t="inlineStr">
        <is>
          <t>Terminal Value % of EV</t>
        </is>
      </c>
      <c r="B16" t="n">
        <v>68.39</v>
      </c>
    </row>
    <row r="17">
      <c r="A17" s="5" t="inlineStr">
        <is>
          <t>Enterprise Value</t>
        </is>
      </c>
      <c r="B17" t="n">
        <v>312303.07</v>
      </c>
    </row>
    <row r="18">
      <c r="A18" s="5" t="inlineStr">
        <is>
          <t>Less: Total Debt</t>
        </is>
      </c>
      <c r="B18" t="n">
        <v>-45000</v>
      </c>
    </row>
    <row r="19">
      <c r="A19" s="5" t="inlineStr">
        <is>
          <t>Plus: Cash</t>
        </is>
      </c>
      <c r="B19" t="n">
        <v>15000</v>
      </c>
    </row>
    <row r="20">
      <c r="A20" s="5" t="inlineStr">
        <is>
          <t>Equity Value</t>
        </is>
      </c>
      <c r="B20" t="n">
        <v>282303.07</v>
      </c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10" customWidth="1" min="4" max="4"/>
    <col width="12" customWidth="1" min="5" max="5"/>
    <col width="10" customWidth="1" min="6" max="6"/>
    <col width="17" customWidth="1" min="7" max="7"/>
    <col width="18" customWidth="1" min="8" max="8"/>
    <col width="21" customWidth="1" min="9" max="9"/>
    <col width="14" customWidth="1" min="10" max="10"/>
    <col width="14" customWidth="1" min="11" max="11"/>
  </cols>
  <sheetData>
    <row r="1">
      <c r="A1" s="1" t="inlineStr">
        <is>
          <t>Leveraged Buyout Model</t>
        </is>
      </c>
    </row>
    <row r="2" ht="45" customHeight="1">
      <c r="A2" s="8" t="inlineStr">
        <is>
          <t>Entering at 10.0x EBITDA (₹520,000.00 Cr EV) with 5.5x leverage and exiting after 5 years at 10.0x EBITDA implies a 2.35x MOIC and approximately 18.6% IRR for the sponsor, assuming 8.0% annual EBITDA growth and the modelled debt paydown.</t>
        </is>
      </c>
    </row>
    <row r="3"/>
    <row r="4">
      <c r="A4" s="6" t="inlineStr">
        <is>
          <t>Sources &amp; Uses</t>
        </is>
      </c>
    </row>
    <row r="5">
      <c r="A5" t="inlineStr">
        <is>
          <t>Use: purchase_enterprise_value</t>
        </is>
      </c>
      <c r="B5" t="n">
        <v>520000</v>
      </c>
    </row>
    <row r="6">
      <c r="A6" t="inlineStr">
        <is>
          <t>Use: transaction_fees</t>
        </is>
      </c>
      <c r="B6" t="n">
        <v>10400</v>
      </c>
    </row>
    <row r="7">
      <c r="A7" t="inlineStr">
        <is>
          <t>Use: total_uses</t>
        </is>
      </c>
      <c r="B7" t="n">
        <v>530400</v>
      </c>
    </row>
    <row r="8">
      <c r="A8" t="inlineStr">
        <is>
          <t>Source: senior_debt</t>
        </is>
      </c>
      <c r="B8" t="n">
        <v>208000</v>
      </c>
    </row>
    <row r="9">
      <c r="A9" t="inlineStr">
        <is>
          <t>Source: subordinated_debt</t>
        </is>
      </c>
      <c r="B9" t="n">
        <v>78000</v>
      </c>
    </row>
    <row r="10">
      <c r="A10" t="inlineStr">
        <is>
          <t>Source: sponsor_equity</t>
        </is>
      </c>
      <c r="B10" t="n">
        <v>244400</v>
      </c>
    </row>
    <row r="11">
      <c r="A11" t="inlineStr">
        <is>
          <t>Source: total_sources</t>
        </is>
      </c>
      <c r="B11" t="n">
        <v>530400</v>
      </c>
    </row>
    <row r="12">
      <c r="A12" t="inlineStr">
        <is>
          <t>Leverage at entry (x EBITDA)</t>
        </is>
      </c>
      <c r="B12" t="n">
        <v>5.5</v>
      </c>
    </row>
    <row r="13"/>
    <row r="14">
      <c r="A14" s="6" t="inlineStr">
        <is>
          <t>Annual Debt Schedule</t>
        </is>
      </c>
    </row>
    <row r="15">
      <c r="A15" s="3" t="inlineStr">
        <is>
          <t>Year</t>
        </is>
      </c>
      <c r="B15" s="3" t="inlineStr">
        <is>
          <t>EBITDA</t>
        </is>
      </c>
      <c r="C15" s="3" t="inlineStr">
        <is>
          <t>Opening Debt</t>
        </is>
      </c>
      <c r="D15" s="3" t="inlineStr">
        <is>
          <t>Interest</t>
        </is>
      </c>
      <c r="E15" s="3" t="inlineStr">
        <is>
          <t>Cash Taxes</t>
        </is>
      </c>
      <c r="F15" s="3" t="inlineStr">
        <is>
          <t>Capex</t>
        </is>
      </c>
      <c r="G15" s="3" t="inlineStr">
        <is>
          <t>FCF Pre-Paydown</t>
        </is>
      </c>
      <c r="H15" s="3" t="inlineStr">
        <is>
          <t>Mandatory Amort.</t>
        </is>
      </c>
      <c r="I15" s="3" t="inlineStr">
        <is>
          <t>Discretionary Sweep</t>
        </is>
      </c>
      <c r="J15" s="3" t="inlineStr">
        <is>
          <t>Closing Debt</t>
        </is>
      </c>
      <c r="K15" s="3" t="inlineStr">
        <is>
          <t>Leverage (x)</t>
        </is>
      </c>
    </row>
    <row r="16">
      <c r="A16" t="n">
        <v>1</v>
      </c>
      <c r="B16" t="n">
        <v>56160</v>
      </c>
      <c r="C16" t="n">
        <v>286000</v>
      </c>
      <c r="D16" t="n">
        <v>26000</v>
      </c>
      <c r="E16" t="n">
        <v>7540</v>
      </c>
      <c r="F16" t="n">
        <v>8424</v>
      </c>
      <c r="G16" t="n">
        <v>14196</v>
      </c>
      <c r="H16" t="n">
        <v>10400</v>
      </c>
      <c r="I16" t="n">
        <v>2847</v>
      </c>
      <c r="J16" t="n">
        <v>272753</v>
      </c>
      <c r="K16" t="n">
        <v>4.86</v>
      </c>
    </row>
    <row r="17">
      <c r="A17" t="n">
        <v>2</v>
      </c>
      <c r="B17" t="n">
        <v>60652.8</v>
      </c>
      <c r="C17" t="n">
        <v>272753</v>
      </c>
      <c r="D17" t="n">
        <v>24940.24</v>
      </c>
      <c r="E17" t="n">
        <v>8928.139999999999</v>
      </c>
      <c r="F17" t="n">
        <v>9097.92</v>
      </c>
      <c r="G17" t="n">
        <v>17686.5</v>
      </c>
      <c r="H17" t="n">
        <v>10400</v>
      </c>
      <c r="I17" t="n">
        <v>5464.88</v>
      </c>
      <c r="J17" t="n">
        <v>256888.12</v>
      </c>
      <c r="K17" t="n">
        <v>4.24</v>
      </c>
    </row>
    <row r="18">
      <c r="A18" t="n">
        <v>3</v>
      </c>
      <c r="B18" t="n">
        <v>65505.02</v>
      </c>
      <c r="C18" t="n">
        <v>256888.12</v>
      </c>
      <c r="D18" t="n">
        <v>23671.05</v>
      </c>
      <c r="E18" t="n">
        <v>10458.49</v>
      </c>
      <c r="F18" t="n">
        <v>9825.75</v>
      </c>
      <c r="G18" t="n">
        <v>21549.73</v>
      </c>
      <c r="H18" t="n">
        <v>10400</v>
      </c>
      <c r="I18" t="n">
        <v>8362.299999999999</v>
      </c>
      <c r="J18" t="n">
        <v>238125.83</v>
      </c>
      <c r="K18" t="n">
        <v>3.64</v>
      </c>
    </row>
    <row r="19">
      <c r="A19" t="n">
        <v>4</v>
      </c>
      <c r="B19" t="n">
        <v>70745.42999999999</v>
      </c>
      <c r="C19" t="n">
        <v>238125.83</v>
      </c>
      <c r="D19" t="n">
        <v>22170.07</v>
      </c>
      <c r="E19" t="n">
        <v>12143.84</v>
      </c>
      <c r="F19" t="n">
        <v>10611.81</v>
      </c>
      <c r="G19" t="n">
        <v>25819.71</v>
      </c>
      <c r="H19" t="n">
        <v>10400</v>
      </c>
      <c r="I19" t="n">
        <v>11564.78</v>
      </c>
      <c r="J19" t="n">
        <v>216161.05</v>
      </c>
      <c r="K19" t="n">
        <v>3.06</v>
      </c>
    </row>
    <row r="20">
      <c r="A20" t="n">
        <v>5</v>
      </c>
      <c r="B20" t="n">
        <v>76405.06</v>
      </c>
      <c r="C20" t="n">
        <v>216161.05</v>
      </c>
      <c r="D20" t="n">
        <v>20412.88</v>
      </c>
      <c r="E20" t="n">
        <v>13998.04</v>
      </c>
      <c r="F20" t="n">
        <v>11460.76</v>
      </c>
      <c r="G20" t="n">
        <v>30533.37</v>
      </c>
      <c r="H20" t="n">
        <v>10400</v>
      </c>
      <c r="I20" t="n">
        <v>15100.03</v>
      </c>
      <c r="J20" t="n">
        <v>190661.02</v>
      </c>
      <c r="K20" t="n">
        <v>2.5</v>
      </c>
    </row>
    <row r="21"/>
    <row r="22">
      <c r="A22" s="6" t="inlineStr">
        <is>
          <t>Exit &amp; Returns</t>
        </is>
      </c>
    </row>
    <row r="23">
      <c r="A23" t="inlineStr">
        <is>
          <t>exit_ebitda</t>
        </is>
      </c>
      <c r="B23" t="n">
        <v>76405.06</v>
      </c>
    </row>
    <row r="24">
      <c r="A24" t="inlineStr">
        <is>
          <t>exit_ev</t>
        </is>
      </c>
      <c r="B24" t="n">
        <v>764050.6</v>
      </c>
    </row>
    <row r="25">
      <c r="A25" t="inlineStr">
        <is>
          <t>remaining_debt</t>
        </is>
      </c>
      <c r="B25" t="n">
        <v>190661.02</v>
      </c>
    </row>
    <row r="26">
      <c r="A26" t="inlineStr">
        <is>
          <t>exit_equity_value</t>
        </is>
      </c>
      <c r="B26" t="n">
        <v>573389.58</v>
      </c>
    </row>
    <row r="27">
      <c r="A27" t="inlineStr">
        <is>
          <t>sponsor_equity_invested</t>
        </is>
      </c>
      <c r="B27" t="n">
        <v>244400</v>
      </c>
    </row>
    <row r="28">
      <c r="A28" t="inlineStr">
        <is>
          <t>moic</t>
        </is>
      </c>
      <c r="B28" t="n">
        <v>2.35</v>
      </c>
    </row>
    <row r="29">
      <c r="A29" t="inlineStr">
        <is>
          <t>irr_pct</t>
        </is>
      </c>
      <c r="B29" t="n">
        <v>18.6</v>
      </c>
    </row>
  </sheetData>
  <mergeCells count="1">
    <mergeCell ref="A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2026-08-30T06:37:36Z</dcterms:created>
  <dcterms:modified xmlns:dcterms="http://purl.org/dc/terms/" xmlns:xsi="http://www.w3.org/2001/XMLSchema-instance" xsi:type="dcterms:W3CDTF">2026-08-30T06:37:36Z</dcterms:modified>
</cp:coreProperties>
</file>